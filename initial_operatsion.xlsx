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ходник для опера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333333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97D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DCE6F1"/>
        <bgColor rgb="00DCE6F1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bottom style="thin">
        <color rgb="0088888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 style="thin">
        <color rgb="00BFBFBF"/>
      </left>
      <right style="thin">
        <color rgb="00BFBFBF"/>
      </right>
      <top style="thin">
        <color rgb="001F497D"/>
      </top>
      <bottom style="medium">
        <color rgb="001F497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right" vertical="center"/>
    </xf>
    <xf numFmtId="0" fontId="5" fillId="4" borderId="3" applyAlignment="1" pivotButton="0" quotePrefix="0" xfId="0">
      <alignment horizontal="right" vertical="center"/>
    </xf>
    <xf numFmtId="0" fontId="0" fillId="4" borderId="3" pivotButton="0" quotePrefix="0" xfId="0"/>
    <xf numFmtId="3" fontId="5" fillId="4" borderId="3" applyAlignment="1" pivotButton="0" quotePrefix="0" xfId="0">
      <alignment horizontal="right" vertical="center"/>
    </xf>
    <xf numFmtId="0" fontId="6" fillId="5" borderId="4" applyAlignment="1" pivotButton="0" quotePrefix="0" xfId="0">
      <alignment horizontal="right" vertical="center"/>
    </xf>
    <xf numFmtId="0" fontId="0" fillId="5" borderId="4" pivotButton="0" quotePrefix="0" xfId="0"/>
    <xf numFmtId="3" fontId="6" fillId="5" borderId="4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9" customWidth="1" min="3" max="3"/>
    <col width="12" customWidth="1" min="4" max="4"/>
    <col width="14" customWidth="1" min="5" max="5"/>
    <col width="6" customWidth="1" min="6" max="6"/>
    <col width="32" customWidth="1" min="7" max="7"/>
    <col width="9" customWidth="1" min="8" max="8"/>
    <col width="12" customWidth="1" min="9" max="9"/>
    <col width="14" customWidth="1" min="10" max="10"/>
  </cols>
  <sheetData>
    <row r="1" ht="28" customHeight="1">
      <c r="A1" s="1" t="inlineStr">
        <is>
          <t>РАСХОДНИК ДЛЯ ОПЕРАЦИИ</t>
        </is>
      </c>
    </row>
    <row r="3" ht="20" customHeight="1">
      <c r="A3" s="2" t="inlineStr">
        <is>
          <t>Дата:</t>
        </is>
      </c>
      <c r="B3" s="3" t="n"/>
      <c r="C3" s="3" t="n"/>
      <c r="D3" s="3" t="n"/>
      <c r="F3" s="2" t="inlineStr">
        <is>
          <t>Конец анестезии:</t>
        </is>
      </c>
      <c r="G3" s="3" t="n"/>
      <c r="H3" s="3" t="n"/>
      <c r="I3" s="3" t="n"/>
      <c r="J3" s="3" t="n"/>
    </row>
    <row r="4" ht="20" customHeight="1">
      <c r="A4" s="2" t="inlineStr">
        <is>
          <t>Начало анестезии:</t>
        </is>
      </c>
      <c r="B4" s="3" t="n"/>
      <c r="C4" s="3" t="n"/>
      <c r="D4" s="3" t="n"/>
      <c r="F4" s="2" t="inlineStr">
        <is>
          <t>№ истории:</t>
        </is>
      </c>
      <c r="G4" s="3" t="n"/>
      <c r="H4" s="3" t="n"/>
      <c r="I4" s="3" t="n"/>
      <c r="J4" s="3" t="n"/>
    </row>
    <row r="5" ht="20" customHeight="1">
      <c r="A5" s="2" t="inlineStr">
        <is>
          <t>Ф.И.О. больного:</t>
        </is>
      </c>
      <c r="B5" s="3" t="n"/>
      <c r="C5" s="3" t="n"/>
      <c r="D5" s="3" t="n"/>
      <c r="F5" s="2" t="inlineStr">
        <is>
          <t>Оператор:</t>
        </is>
      </c>
      <c r="G5" s="3" t="n"/>
      <c r="H5" s="3" t="n"/>
      <c r="I5" s="3" t="n"/>
      <c r="J5" s="3" t="n"/>
    </row>
    <row r="6" ht="20" customHeight="1">
      <c r="A6" s="2" t="inlineStr">
        <is>
          <t>Название операции:</t>
        </is>
      </c>
      <c r="B6" s="3" t="n"/>
      <c r="C6" s="3" t="n"/>
      <c r="D6" s="3" t="n"/>
      <c r="F6" s="2" t="inlineStr">
        <is>
          <t>Опер. медсестра:</t>
        </is>
      </c>
      <c r="G6" s="3" t="n"/>
      <c r="H6" s="3" t="n"/>
      <c r="I6" s="3" t="n"/>
      <c r="J6" s="3" t="n"/>
    </row>
    <row r="8" ht="24" customHeight="1">
      <c r="A8" s="4" t="inlineStr">
        <is>
          <t>№</t>
        </is>
      </c>
      <c r="B8" s="4" t="inlineStr">
        <is>
          <t>Наименование</t>
        </is>
      </c>
      <c r="C8" s="4" t="inlineStr">
        <is>
          <t>Кол-во</t>
        </is>
      </c>
      <c r="D8" s="4" t="inlineStr">
        <is>
          <t>Цена</t>
        </is>
      </c>
      <c r="E8" s="4" t="inlineStr">
        <is>
          <t>Сумма</t>
        </is>
      </c>
      <c r="F8" s="4" t="inlineStr">
        <is>
          <t>№</t>
        </is>
      </c>
      <c r="G8" s="4" t="inlineStr">
        <is>
          <t>Наименование</t>
        </is>
      </c>
      <c r="H8" s="4" t="inlineStr">
        <is>
          <t>Кол-во</t>
        </is>
      </c>
      <c r="I8" s="4" t="inlineStr">
        <is>
          <t>Цена</t>
        </is>
      </c>
      <c r="J8" s="4" t="inlineStr">
        <is>
          <t>Сумма</t>
        </is>
      </c>
    </row>
    <row r="9" ht="19" customHeight="1">
      <c r="A9" s="5" t="n">
        <v>1</v>
      </c>
      <c r="B9" s="6" t="inlineStr">
        <is>
          <t>Адреналин</t>
        </is>
      </c>
      <c r="C9" s="5" t="n"/>
      <c r="D9" s="7" t="n"/>
      <c r="E9" s="7">
        <f>IF(OR(C9="",D9=""),"",C9*D9)</f>
        <v/>
      </c>
      <c r="F9" s="5" t="n">
        <v>35</v>
      </c>
      <c r="G9" s="6" t="inlineStr">
        <is>
          <t>Перчатки нестерильные</t>
        </is>
      </c>
      <c r="H9" s="5" t="n"/>
      <c r="I9" s="7" t="n"/>
      <c r="J9" s="7">
        <f>IF(OR(H9="",I9=""),"",H9*I9)</f>
        <v/>
      </c>
    </row>
    <row r="10" ht="19" customHeight="1">
      <c r="A10" s="8" t="n">
        <v>2</v>
      </c>
      <c r="B10" s="9" t="inlineStr">
        <is>
          <t>Бахила</t>
        </is>
      </c>
      <c r="C10" s="8" t="n"/>
      <c r="D10" s="10" t="n"/>
      <c r="E10" s="10">
        <f>IF(OR(C10="",D10=""),"",C10*D10)</f>
        <v/>
      </c>
      <c r="F10" s="8" t="n">
        <v>36</v>
      </c>
      <c r="G10" s="9" t="inlineStr">
        <is>
          <t>Перчатки стер.од.хирур 7.0</t>
        </is>
      </c>
      <c r="H10" s="8" t="n"/>
      <c r="I10" s="10" t="n"/>
      <c r="J10" s="10">
        <f>IF(OR(H10="",I10=""),"",H10*I10)</f>
        <v/>
      </c>
    </row>
    <row r="11" ht="19" customHeight="1">
      <c r="A11" s="5" t="n">
        <v>3</v>
      </c>
      <c r="B11" s="6" t="inlineStr">
        <is>
          <t>Бетадин</t>
        </is>
      </c>
      <c r="C11" s="5" t="n"/>
      <c r="D11" s="7" t="n"/>
      <c r="E11" s="7">
        <f>IF(OR(C11="",D11=""),"",C11*D11)</f>
        <v/>
      </c>
      <c r="F11" s="5" t="n">
        <v>37</v>
      </c>
      <c r="G11" s="6" t="inlineStr">
        <is>
          <t>Перчатки стер.од.хирур 7.5</t>
        </is>
      </c>
      <c r="H11" s="5" t="n"/>
      <c r="I11" s="7" t="n"/>
      <c r="J11" s="7">
        <f>IF(OR(H11="",I11=""),"",H11*I11)</f>
        <v/>
      </c>
    </row>
    <row r="12" ht="19" customHeight="1">
      <c r="A12" s="8" t="n">
        <v>4</v>
      </c>
      <c r="B12" s="9" t="inlineStr">
        <is>
          <t>Бинт+вата</t>
        </is>
      </c>
      <c r="C12" s="8" t="n"/>
      <c r="D12" s="10" t="n"/>
      <c r="E12" s="10">
        <f>IF(OR(C12="",D12=""),"",C12*D12)</f>
        <v/>
      </c>
      <c r="F12" s="8" t="n">
        <v>38</v>
      </c>
      <c r="G12" s="9" t="inlineStr">
        <is>
          <t>Перчатки стер.од.хирур 8.0</t>
        </is>
      </c>
      <c r="H12" s="8" t="n"/>
      <c r="I12" s="10" t="n"/>
      <c r="J12" s="10">
        <f>IF(OR(H12="",I12=""),"",H12*I12)</f>
        <v/>
      </c>
    </row>
    <row r="13" ht="19" customHeight="1">
      <c r="A13" s="5" t="n">
        <v>5</v>
      </c>
      <c r="B13" s="6" t="inlineStr">
        <is>
          <t>Викрил № 1/0</t>
        </is>
      </c>
      <c r="C13" s="5" t="n"/>
      <c r="D13" s="7" t="n"/>
      <c r="E13" s="7">
        <f>IF(OR(C13="",D13=""),"",C13*D13)</f>
        <v/>
      </c>
      <c r="F13" s="5" t="n">
        <v>39</v>
      </c>
      <c r="G13" s="6" t="inlineStr">
        <is>
          <t>Система</t>
        </is>
      </c>
      <c r="H13" s="5" t="n"/>
      <c r="I13" s="7" t="n"/>
      <c r="J13" s="7">
        <f>IF(OR(H13="",I13=""),"",H13*I13)</f>
        <v/>
      </c>
    </row>
    <row r="14" ht="19" customHeight="1">
      <c r="A14" s="8" t="n">
        <v>6</v>
      </c>
      <c r="B14" s="9" t="inlineStr">
        <is>
          <t>Викрил № 2/0</t>
        </is>
      </c>
      <c r="C14" s="8" t="n"/>
      <c r="D14" s="10" t="n"/>
      <c r="E14" s="10">
        <f>IF(OR(C14="",D14=""),"",C14*D14)</f>
        <v/>
      </c>
      <c r="F14" s="8" t="n">
        <v>40</v>
      </c>
      <c r="G14" s="9" t="inlineStr">
        <is>
          <t>Спирт 70%</t>
        </is>
      </c>
      <c r="H14" s="8" t="n"/>
      <c r="I14" s="10" t="n"/>
      <c r="J14" s="10">
        <f>IF(OR(H14="",I14=""),"",H14*I14)</f>
        <v/>
      </c>
    </row>
    <row r="15" ht="19" customHeight="1">
      <c r="A15" s="5" t="n">
        <v>7</v>
      </c>
      <c r="B15" s="6" t="inlineStr">
        <is>
          <t>Викрил № 3/0</t>
        </is>
      </c>
      <c r="C15" s="5" t="n"/>
      <c r="D15" s="7" t="n"/>
      <c r="E15" s="7">
        <f>IF(OR(C15="",D15=""),"",C15*D15)</f>
        <v/>
      </c>
      <c r="F15" s="5" t="n">
        <v>41</v>
      </c>
      <c r="G15" s="6" t="inlineStr">
        <is>
          <t>Спирт 96%</t>
        </is>
      </c>
      <c r="H15" s="5" t="n"/>
      <c r="I15" s="7" t="n"/>
      <c r="J15" s="7">
        <f>IF(OR(H15="",I15=""),"",H15*I15)</f>
        <v/>
      </c>
    </row>
    <row r="16" ht="19" customHeight="1">
      <c r="A16" s="8" t="n">
        <v>8</v>
      </c>
      <c r="B16" s="9" t="inlineStr">
        <is>
          <t>Викрил № 4/0</t>
        </is>
      </c>
      <c r="C16" s="8" t="n"/>
      <c r="D16" s="10" t="n"/>
      <c r="E16" s="10">
        <f>IF(OR(C16="",D16=""),"",C16*D16)</f>
        <v/>
      </c>
      <c r="F16" s="8" t="n">
        <v>42</v>
      </c>
      <c r="G16" s="9" t="inlineStr">
        <is>
          <t>Стерильный одн.раз. простынь</t>
        </is>
      </c>
      <c r="H16" s="8" t="n"/>
      <c r="I16" s="10" t="n"/>
      <c r="J16" s="10">
        <f>IF(OR(H16="",I16=""),"",H16*I16)</f>
        <v/>
      </c>
    </row>
    <row r="17" ht="19" customHeight="1">
      <c r="A17" s="5" t="n">
        <v>9</v>
      </c>
      <c r="B17" s="6" t="inlineStr">
        <is>
          <t>Викрил № 5/0</t>
        </is>
      </c>
      <c r="C17" s="5" t="n"/>
      <c r="D17" s="7" t="n"/>
      <c r="E17" s="7">
        <f>IF(OR(C17="",D17=""),"",C17*D17)</f>
        <v/>
      </c>
      <c r="F17" s="5" t="n">
        <v>43</v>
      </c>
      <c r="G17" s="6" t="inlineStr">
        <is>
          <t>Стерильный одн.раз. халат</t>
        </is>
      </c>
      <c r="H17" s="5" t="n"/>
      <c r="I17" s="7" t="n"/>
      <c r="J17" s="7">
        <f>IF(OR(H17="",I17=""),"",H17*I17)</f>
        <v/>
      </c>
    </row>
    <row r="18" ht="19" customHeight="1">
      <c r="A18" s="8" t="n">
        <v>10</v>
      </c>
      <c r="B18" s="9" t="inlineStr">
        <is>
          <t>Викрил № 1</t>
        </is>
      </c>
      <c r="C18" s="8" t="n"/>
      <c r="D18" s="10" t="n"/>
      <c r="E18" s="10">
        <f>IF(OR(C18="",D18=""),"",C18*D18)</f>
        <v/>
      </c>
      <c r="F18" s="8" t="n">
        <v>44</v>
      </c>
      <c r="G18" s="9" t="inlineStr">
        <is>
          <t>Стерильный одн.раз. чехол</t>
        </is>
      </c>
      <c r="H18" s="8" t="n"/>
      <c r="I18" s="10" t="n"/>
      <c r="J18" s="10">
        <f>IF(OR(H18="",I18=""),"",H18*I18)</f>
        <v/>
      </c>
    </row>
    <row r="19" ht="19" customHeight="1">
      <c r="A19" s="5" t="n">
        <v>11</v>
      </c>
      <c r="B19" s="6" t="inlineStr">
        <is>
          <t>Викрил № 2</t>
        </is>
      </c>
      <c r="C19" s="5" t="n"/>
      <c r="D19" s="7" t="n"/>
      <c r="E19" s="7">
        <f>IF(OR(C19="",D19=""),"",C19*D19)</f>
        <v/>
      </c>
      <c r="F19" s="5" t="n">
        <v>45</v>
      </c>
      <c r="G19" s="6" t="inlineStr">
        <is>
          <t>Сюперкаин</t>
        </is>
      </c>
      <c r="H19" s="5" t="n"/>
      <c r="I19" s="7" t="n"/>
      <c r="J19" s="7">
        <f>IF(OR(H19="",I19=""),"",H19*I19)</f>
        <v/>
      </c>
    </row>
    <row r="20" ht="19" customHeight="1">
      <c r="A20" s="8" t="n">
        <v>12</v>
      </c>
      <c r="B20" s="9" t="inlineStr">
        <is>
          <t>Викрил № 3</t>
        </is>
      </c>
      <c r="C20" s="8" t="n"/>
      <c r="D20" s="10" t="n"/>
      <c r="E20" s="10">
        <f>IF(OR(C20="",D20=""),"",C20*D20)</f>
        <v/>
      </c>
      <c r="F20" s="8" t="n">
        <v>46</v>
      </c>
      <c r="G20" s="9" t="inlineStr">
        <is>
          <t>Фолея катетер № ____</t>
        </is>
      </c>
      <c r="H20" s="8" t="n"/>
      <c r="I20" s="10" t="n"/>
      <c r="J20" s="10">
        <f>IF(OR(H20="",I20=""),"",H20*I20)</f>
        <v/>
      </c>
    </row>
    <row r="21" ht="19" customHeight="1">
      <c r="A21" s="5" t="n">
        <v>13</v>
      </c>
      <c r="B21" s="6" t="inlineStr">
        <is>
          <t>Викрил № 4</t>
        </is>
      </c>
      <c r="C21" s="5" t="n"/>
      <c r="D21" s="7" t="n"/>
      <c r="E21" s="7">
        <f>IF(OR(C21="",D21=""),"",C21*D21)</f>
        <v/>
      </c>
      <c r="F21" s="5" t="n">
        <v>47</v>
      </c>
      <c r="G21" s="6" t="inlineStr">
        <is>
          <t>Фолея катетер № ____</t>
        </is>
      </c>
      <c r="H21" s="5" t="n"/>
      <c r="I21" s="7" t="n"/>
      <c r="J21" s="7">
        <f>IF(OR(H21="",I21=""),"",H21*I21)</f>
        <v/>
      </c>
    </row>
    <row r="22" ht="19" customHeight="1">
      <c r="A22" s="8" t="n">
        <v>14</v>
      </c>
      <c r="B22" s="9" t="inlineStr">
        <is>
          <t>Викрил № 5</t>
        </is>
      </c>
      <c r="C22" s="8" t="n"/>
      <c r="D22" s="10" t="n"/>
      <c r="E22" s="10">
        <f>IF(OR(C22="",D22=""),"",C22*D22)</f>
        <v/>
      </c>
      <c r="F22" s="8" t="n">
        <v>48</v>
      </c>
      <c r="G22" s="9" t="inlineStr">
        <is>
          <t>Фолея катетер № ____</t>
        </is>
      </c>
      <c r="H22" s="8" t="n"/>
      <c r="I22" s="10" t="n"/>
      <c r="J22" s="10">
        <f>IF(OR(H22="",I22=""),"",H22*I22)</f>
        <v/>
      </c>
    </row>
    <row r="23" ht="19" customHeight="1">
      <c r="A23" s="5" t="n">
        <v>15</v>
      </c>
      <c r="B23" s="6" t="inlineStr">
        <is>
          <t>Дез.раствор</t>
        </is>
      </c>
      <c r="C23" s="5" t="n"/>
      <c r="D23" s="7" t="n"/>
      <c r="E23" s="7">
        <f>IF(OR(C23="",D23=""),"",C23*D23)</f>
        <v/>
      </c>
      <c r="F23" s="5" t="n">
        <v>49</v>
      </c>
      <c r="G23" s="6" t="inlineStr">
        <is>
          <t>Цефтриаксон 1.0 мг</t>
        </is>
      </c>
      <c r="H23" s="5" t="n"/>
      <c r="I23" s="7" t="n"/>
      <c r="J23" s="7">
        <f>IF(OR(H23="",I23=""),"",H23*I23)</f>
        <v/>
      </c>
    </row>
    <row r="24" ht="19" customHeight="1">
      <c r="A24" s="8" t="n">
        <v>16</v>
      </c>
      <c r="B24" s="9" t="inlineStr">
        <is>
          <t>Дез.раствор Септодез</t>
        </is>
      </c>
      <c r="C24" s="8" t="n"/>
      <c r="D24" s="10" t="n"/>
      <c r="E24" s="10">
        <f>IF(OR(C24="",D24=""),"",C24*D24)</f>
        <v/>
      </c>
      <c r="F24" s="8" t="n">
        <v>50</v>
      </c>
      <c r="G24" s="9" t="inlineStr">
        <is>
          <t>Шапочка (Шарлотка)</t>
        </is>
      </c>
      <c r="H24" s="8" t="n"/>
      <c r="I24" s="10" t="n"/>
      <c r="J24" s="10">
        <f>IF(OR(H24="",I24=""),"",H24*I24)</f>
        <v/>
      </c>
    </row>
    <row r="25" ht="19" customHeight="1">
      <c r="A25" s="5" t="n">
        <v>17</v>
      </c>
      <c r="B25" s="6" t="inlineStr">
        <is>
          <t>ДСИ</t>
        </is>
      </c>
      <c r="C25" s="5" t="n"/>
      <c r="D25" s="7" t="n"/>
      <c r="E25" s="7">
        <f>IF(OR(C25="",D25=""),"",C25*D25)</f>
        <v/>
      </c>
      <c r="F25" s="5" t="n">
        <v>51</v>
      </c>
      <c r="G25" s="6" t="inlineStr">
        <is>
          <t>Шприц 2.0 мл</t>
        </is>
      </c>
      <c r="H25" s="5" t="n"/>
      <c r="I25" s="7" t="n"/>
      <c r="J25" s="7">
        <f>IF(OR(H25="",I25=""),"",H25*I25)</f>
        <v/>
      </c>
    </row>
    <row r="26" ht="19" customHeight="1">
      <c r="A26" s="8" t="n">
        <v>18</v>
      </c>
      <c r="B26" s="9" t="inlineStr">
        <is>
          <t>Зеленка</t>
        </is>
      </c>
      <c r="C26" s="8" t="n"/>
      <c r="D26" s="10" t="n"/>
      <c r="E26" s="10">
        <f>IF(OR(C26="",D26=""),"",C26*D26)</f>
        <v/>
      </c>
      <c r="F26" s="8" t="n">
        <v>52</v>
      </c>
      <c r="G26" s="9" t="inlineStr">
        <is>
          <t>Шприц 5.0 мл</t>
        </is>
      </c>
      <c r="H26" s="8" t="n"/>
      <c r="I26" s="10" t="n"/>
      <c r="J26" s="10">
        <f>IF(OR(H26="",I26=""),"",H26*I26)</f>
        <v/>
      </c>
    </row>
    <row r="27" ht="19" customHeight="1">
      <c r="A27" s="5" t="n">
        <v>19</v>
      </c>
      <c r="B27" s="6" t="inlineStr">
        <is>
          <t>Капрон</t>
        </is>
      </c>
      <c r="C27" s="5" t="n"/>
      <c r="D27" s="7" t="n"/>
      <c r="E27" s="7">
        <f>IF(OR(C27="",D27=""),"",C27*D27)</f>
        <v/>
      </c>
      <c r="F27" s="5" t="n">
        <v>53</v>
      </c>
      <c r="G27" s="6" t="inlineStr">
        <is>
          <t>Шприц 10.0 мл</t>
        </is>
      </c>
      <c r="H27" s="5" t="n"/>
      <c r="I27" s="7" t="n"/>
      <c r="J27" s="7">
        <f>IF(OR(H27="",I27=""),"",H27*I27)</f>
        <v/>
      </c>
    </row>
    <row r="28" ht="19" customHeight="1">
      <c r="A28" s="8" t="n">
        <v>20</v>
      </c>
      <c r="B28" s="9" t="inlineStr">
        <is>
          <t>Клипса</t>
        </is>
      </c>
      <c r="C28" s="8" t="n"/>
      <c r="D28" s="10" t="n"/>
      <c r="E28" s="10">
        <f>IF(OR(C28="",D28=""),"",C28*D28)</f>
        <v/>
      </c>
      <c r="F28" s="8" t="n">
        <v>54</v>
      </c>
      <c r="G28" s="9" t="inlineStr">
        <is>
          <t>Шприц 20.0 мл</t>
        </is>
      </c>
      <c r="H28" s="8" t="n"/>
      <c r="I28" s="10" t="n"/>
      <c r="J28" s="10">
        <f>IF(OR(H28="",I28=""),"",H28*I28)</f>
        <v/>
      </c>
    </row>
    <row r="29" ht="19" customHeight="1">
      <c r="A29" s="5" t="n">
        <v>21</v>
      </c>
      <c r="B29" s="6" t="inlineStr">
        <is>
          <t>Левомеколь мазь гр</t>
        </is>
      </c>
      <c r="C29" s="5" t="n"/>
      <c r="D29" s="7" t="n"/>
      <c r="E29" s="7">
        <f>IF(OR(C29="",D29=""),"",C29*D29)</f>
        <v/>
      </c>
      <c r="F29" s="5" t="n">
        <v>55</v>
      </c>
      <c r="G29" s="6" t="inlineStr">
        <is>
          <t>Шприц 50.0 мл</t>
        </is>
      </c>
      <c r="H29" s="5" t="n"/>
      <c r="I29" s="7" t="n"/>
      <c r="J29" s="7">
        <f>IF(OR(H29="",I29=""),"",H29*I29)</f>
        <v/>
      </c>
    </row>
    <row r="30" ht="19" customHeight="1">
      <c r="A30" s="8" t="n">
        <v>22</v>
      </c>
      <c r="B30" s="9" t="inlineStr">
        <is>
          <t>Лезвия одн.раз.стер. 10</t>
        </is>
      </c>
      <c r="C30" s="8" t="n"/>
      <c r="D30" s="10" t="n"/>
      <c r="E30" s="10">
        <f>IF(OR(C30="",D30=""),"",C30*D30)</f>
        <v/>
      </c>
      <c r="F30" s="8" t="n">
        <v>56</v>
      </c>
      <c r="G30" s="9" t="inlineStr"/>
      <c r="H30" s="8" t="n"/>
      <c r="I30" s="10" t="n"/>
      <c r="J30" s="10">
        <f>IF(OR(H30="",I30=""),"",H30*I30)</f>
        <v/>
      </c>
    </row>
    <row r="31" ht="19" customHeight="1">
      <c r="A31" s="5" t="n">
        <v>23</v>
      </c>
      <c r="B31" s="6" t="inlineStr">
        <is>
          <t>Лезвия одн.раз.стер. 11</t>
        </is>
      </c>
      <c r="C31" s="5" t="n"/>
      <c r="D31" s="7" t="n"/>
      <c r="E31" s="7">
        <f>IF(OR(C31="",D31=""),"",C31*D31)</f>
        <v/>
      </c>
      <c r="F31" s="5" t="n">
        <v>57</v>
      </c>
      <c r="G31" s="6" t="inlineStr"/>
      <c r="H31" s="5" t="n"/>
      <c r="I31" s="7" t="n"/>
      <c r="J31" s="7">
        <f>IF(OR(H31="",I31=""),"",H31*I31)</f>
        <v/>
      </c>
    </row>
    <row r="32" ht="19" customHeight="1">
      <c r="A32" s="8" t="n">
        <v>24</v>
      </c>
      <c r="B32" s="9" t="inlineStr">
        <is>
          <t>Лезвия одн.раз.стер. 15</t>
        </is>
      </c>
      <c r="C32" s="8" t="n"/>
      <c r="D32" s="10" t="n"/>
      <c r="E32" s="10">
        <f>IF(OR(C32="",D32=""),"",C32*D32)</f>
        <v/>
      </c>
      <c r="F32" s="8" t="n">
        <v>58</v>
      </c>
      <c r="G32" s="9" t="inlineStr"/>
      <c r="H32" s="8" t="n"/>
      <c r="I32" s="10" t="n"/>
      <c r="J32" s="10">
        <f>IF(OR(H32="",I32=""),"",H32*I32)</f>
        <v/>
      </c>
    </row>
    <row r="33" ht="19" customHeight="1">
      <c r="A33" s="5" t="n">
        <v>25</v>
      </c>
      <c r="B33" s="6" t="inlineStr">
        <is>
          <t>Лидокаин</t>
        </is>
      </c>
      <c r="C33" s="5" t="n"/>
      <c r="D33" s="7" t="n"/>
      <c r="E33" s="7">
        <f>IF(OR(C33="",D33=""),"",C33*D33)</f>
        <v/>
      </c>
      <c r="F33" s="5" t="n">
        <v>59</v>
      </c>
      <c r="G33" s="6" t="inlineStr"/>
      <c r="H33" s="5" t="n"/>
      <c r="I33" s="7" t="n"/>
      <c r="J33" s="7">
        <f>IF(OR(H33="",I33=""),"",H33*I33)</f>
        <v/>
      </c>
    </row>
    <row r="34" ht="19" customHeight="1">
      <c r="A34" s="8" t="n">
        <v>26</v>
      </c>
      <c r="B34" s="9" t="inlineStr">
        <is>
          <t>Марля</t>
        </is>
      </c>
      <c r="C34" s="8" t="n"/>
      <c r="D34" s="10" t="n"/>
      <c r="E34" s="10">
        <f>IF(OR(C34="",D34=""),"",C34*D34)</f>
        <v/>
      </c>
      <c r="F34" s="8" t="n">
        <v>60</v>
      </c>
      <c r="G34" s="9" t="inlineStr"/>
      <c r="H34" s="8" t="n"/>
      <c r="I34" s="10" t="n"/>
      <c r="J34" s="10">
        <f>IF(OR(H34="",I34=""),"",H34*I34)</f>
        <v/>
      </c>
    </row>
    <row r="35" ht="19" customHeight="1">
      <c r="A35" s="5" t="n">
        <v>27</v>
      </c>
      <c r="B35" s="6" t="inlineStr">
        <is>
          <t>Маска</t>
        </is>
      </c>
      <c r="C35" s="5" t="n"/>
      <c r="D35" s="7" t="n"/>
      <c r="E35" s="7">
        <f>IF(OR(C35="",D35=""),"",C35*D35)</f>
        <v/>
      </c>
      <c r="F35" s="5" t="n">
        <v>61</v>
      </c>
      <c r="G35" s="6" t="inlineStr"/>
      <c r="H35" s="5" t="n"/>
      <c r="I35" s="7" t="n"/>
      <c r="J35" s="7">
        <f>IF(OR(H35="",I35=""),"",H35*I35)</f>
        <v/>
      </c>
    </row>
    <row r="36" ht="19" customHeight="1">
      <c r="A36" s="8" t="n">
        <v>28</v>
      </c>
      <c r="B36" s="9" t="inlineStr">
        <is>
          <t>Натрия хлорид 0,9 % - 100,0</t>
        </is>
      </c>
      <c r="C36" s="8" t="n"/>
      <c r="D36" s="10" t="n"/>
      <c r="E36" s="10">
        <f>IF(OR(C36="",D36=""),"",C36*D36)</f>
        <v/>
      </c>
      <c r="F36" s="8" t="n">
        <v>62</v>
      </c>
      <c r="G36" s="9" t="inlineStr"/>
      <c r="H36" s="8" t="n"/>
      <c r="I36" s="10" t="n"/>
      <c r="J36" s="10">
        <f>IF(OR(H36="",I36=""),"",H36*I36)</f>
        <v/>
      </c>
    </row>
    <row r="37" ht="19" customHeight="1">
      <c r="A37" s="5" t="n">
        <v>29</v>
      </c>
      <c r="B37" s="6" t="inlineStr">
        <is>
          <t>Натрия хлорид 0,9 % - 200,0</t>
        </is>
      </c>
      <c r="C37" s="5" t="n"/>
      <c r="D37" s="7" t="n"/>
      <c r="E37" s="7">
        <f>IF(OR(C37="",D37=""),"",C37*D37)</f>
        <v/>
      </c>
      <c r="F37" s="5" t="n">
        <v>63</v>
      </c>
      <c r="G37" s="6" t="inlineStr"/>
      <c r="H37" s="5" t="n"/>
      <c r="I37" s="7" t="n"/>
      <c r="J37" s="7">
        <f>IF(OR(H37="",I37=""),"",H37*I37)</f>
        <v/>
      </c>
    </row>
    <row r="38" ht="19" customHeight="1">
      <c r="A38" s="8" t="n">
        <v>30</v>
      </c>
      <c r="B38" s="9" t="inlineStr">
        <is>
          <t>Натрия хлорид 0,9 % - 500,0</t>
        </is>
      </c>
      <c r="C38" s="8" t="n"/>
      <c r="D38" s="10" t="n"/>
      <c r="E38" s="10">
        <f>IF(OR(C38="",D38=""),"",C38*D38)</f>
        <v/>
      </c>
      <c r="F38" s="8" t="n">
        <v>64</v>
      </c>
      <c r="G38" s="9" t="inlineStr"/>
      <c r="H38" s="8" t="n"/>
      <c r="I38" s="10" t="n"/>
      <c r="J38" s="10">
        <f>IF(OR(H38="",I38=""),"",H38*I38)</f>
        <v/>
      </c>
    </row>
    <row r="39" ht="19" customHeight="1">
      <c r="A39" s="5" t="n">
        <v>31</v>
      </c>
      <c r="B39" s="6" t="inlineStr">
        <is>
          <t>Нафтизин</t>
        </is>
      </c>
      <c r="C39" s="5" t="n"/>
      <c r="D39" s="7" t="n"/>
      <c r="E39" s="7">
        <f>IF(OR(C39="",D39=""),"",C39*D39)</f>
        <v/>
      </c>
      <c r="F39" s="5" t="n">
        <v>65</v>
      </c>
      <c r="G39" s="6" t="inlineStr"/>
      <c r="H39" s="5" t="n"/>
      <c r="I39" s="7" t="n"/>
      <c r="J39" s="7">
        <f>IF(OR(H39="",I39=""),"",H39*I39)</f>
        <v/>
      </c>
    </row>
    <row r="40" ht="19" customHeight="1">
      <c r="A40" s="8" t="n">
        <v>32</v>
      </c>
      <c r="B40" s="9" t="inlineStr">
        <is>
          <t>Назогастральный зонд</t>
        </is>
      </c>
      <c r="C40" s="8" t="n"/>
      <c r="D40" s="10" t="n"/>
      <c r="E40" s="10">
        <f>IF(OR(C40="",D40=""),"",C40*D40)</f>
        <v/>
      </c>
      <c r="F40" s="8" t="n">
        <v>66</v>
      </c>
      <c r="G40" s="9" t="inlineStr"/>
      <c r="H40" s="8" t="n"/>
      <c r="I40" s="10" t="n"/>
      <c r="J40" s="10">
        <f>IF(OR(H40="",I40=""),"",H40*I40)</f>
        <v/>
      </c>
    </row>
    <row r="41" ht="19" customHeight="1">
      <c r="A41" s="5" t="n">
        <v>33</v>
      </c>
      <c r="B41" s="6" t="inlineStr">
        <is>
          <t>Новокаин 0.5% - 5.0 мл</t>
        </is>
      </c>
      <c r="C41" s="5" t="n"/>
      <c r="D41" s="7" t="n"/>
      <c r="E41" s="7">
        <f>IF(OR(C41="",D41=""),"",C41*D41)</f>
        <v/>
      </c>
      <c r="F41" s="5" t="n">
        <v>67</v>
      </c>
      <c r="G41" s="6" t="inlineStr"/>
      <c r="H41" s="5" t="n"/>
      <c r="I41" s="7" t="n"/>
      <c r="J41" s="7">
        <f>IF(OR(H41="",I41=""),"",H41*I41)</f>
        <v/>
      </c>
    </row>
    <row r="42" ht="19" customHeight="1">
      <c r="A42" s="8" t="n">
        <v>34</v>
      </c>
      <c r="B42" s="9" t="inlineStr">
        <is>
          <t>Перекись водорода</t>
        </is>
      </c>
      <c r="C42" s="8" t="n"/>
      <c r="D42" s="10" t="n"/>
      <c r="E42" s="10">
        <f>IF(OR(C42="",D42=""),"",C42*D42)</f>
        <v/>
      </c>
      <c r="F42" s="8" t="n">
        <v>68</v>
      </c>
      <c r="G42" s="9" t="inlineStr"/>
      <c r="H42" s="8" t="n"/>
      <c r="I42" s="10" t="n"/>
      <c r="J42" s="10">
        <f>IF(OR(H42="",I42=""),"",H42*I42)</f>
        <v/>
      </c>
    </row>
    <row r="43" ht="22" customHeight="1">
      <c r="A43" s="11" t="inlineStr">
        <is>
          <t>ИТОГО (1-34):</t>
        </is>
      </c>
      <c r="B43" s="12" t="n"/>
      <c r="C43" s="12" t="n"/>
      <c r="D43" s="12" t="n"/>
      <c r="E43" s="13">
        <f>SUM(E9:E42)</f>
        <v/>
      </c>
      <c r="F43" s="11" t="inlineStr">
        <is>
          <t>ИТОГО (35-68):</t>
        </is>
      </c>
      <c r="G43" s="12" t="n"/>
      <c r="H43" s="12" t="n"/>
      <c r="I43" s="12" t="n"/>
      <c r="J43" s="13">
        <f>SUM(J9:J42)</f>
        <v/>
      </c>
    </row>
    <row r="44" ht="24" customHeight="1">
      <c r="A44" s="14" t="inlineStr">
        <is>
          <t>ОБЩАЯ СУММА РАСХОДОВ (ИТОГО):</t>
        </is>
      </c>
      <c r="B44" s="15" t="n"/>
      <c r="C44" s="15" t="n"/>
      <c r="D44" s="15" t="n"/>
      <c r="E44" s="15" t="n"/>
      <c r="F44" s="15" t="n"/>
      <c r="G44" s="15" t="n"/>
      <c r="H44" s="15" t="n"/>
      <c r="I44" s="16">
        <f>E43+J43</f>
        <v/>
      </c>
      <c r="J44" s="15" t="n"/>
    </row>
    <row r="47">
      <c r="A47" s="17" t="inlineStr">
        <is>
          <t>Оператор:</t>
        </is>
      </c>
      <c r="C47" s="18" t="inlineStr">
        <is>
          <t>_________________________</t>
        </is>
      </c>
      <c r="F47" s="17" t="inlineStr">
        <is>
          <t>Операционная медсестра:</t>
        </is>
      </c>
      <c r="H47" s="18" t="inlineStr">
        <is>
          <t>_________________________</t>
        </is>
      </c>
    </row>
  </sheetData>
  <mergeCells count="5">
    <mergeCell ref="I44:J44"/>
    <mergeCell ref="A1:J1"/>
    <mergeCell ref="F43:I43"/>
    <mergeCell ref="A43:D43"/>
    <mergeCell ref="A44:H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2026-10-06T15:05:22Z</dcterms:created>
  <dcterms:modified xmlns:dcterms="http://purl.org/dc/terms/" xmlns:xsi="http://www.w3.org/2001/XMLSchema-instance" xsi:type="dcterms:W3CDTF">2026-10-06T15:05:22Z</dcterms:modified>
</cp:coreProperties>
</file>